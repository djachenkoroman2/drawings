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dev\drawings\robot4wd_v2\"/>
    </mc:Choice>
  </mc:AlternateContent>
  <xr:revisionPtr revIDLastSave="0" documentId="13_ncr:1_{0F5A49EE-1604-44FE-8A6A-DE6A6230D1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4" l="1"/>
  <c r="T15" i="4"/>
  <c r="R15" i="4"/>
  <c r="R14" i="4"/>
  <c r="P14" i="4"/>
  <c r="P15" i="4"/>
  <c r="N15" i="4"/>
  <c r="N14" i="4"/>
  <c r="T10" i="4"/>
  <c r="T11" i="4"/>
  <c r="R11" i="4"/>
  <c r="R10" i="4"/>
  <c r="P10" i="4"/>
  <c r="P11" i="4"/>
  <c r="N10" i="4"/>
  <c r="N11" i="4"/>
  <c r="T6" i="4"/>
  <c r="T7" i="4"/>
  <c r="R7" i="4"/>
  <c r="R6" i="4"/>
  <c r="P7" i="4"/>
  <c r="P6" i="4"/>
  <c r="N7" i="4"/>
  <c r="N6" i="4"/>
  <c r="T2" i="4"/>
  <c r="T3" i="4"/>
  <c r="R3" i="4"/>
  <c r="R2" i="4"/>
  <c r="P3" i="4"/>
  <c r="P2" i="4"/>
  <c r="N2" i="4"/>
  <c r="N3" i="4"/>
  <c r="K22" i="4"/>
  <c r="K21" i="4"/>
  <c r="I22" i="4"/>
  <c r="I21" i="4"/>
  <c r="K17" i="4"/>
  <c r="K18" i="4"/>
  <c r="I17" i="4"/>
  <c r="I18" i="4"/>
  <c r="I14" i="4"/>
  <c r="I13" i="4"/>
  <c r="I10" i="4"/>
  <c r="I9" i="4"/>
  <c r="I5" i="4"/>
  <c r="I6" i="4"/>
  <c r="I1" i="4"/>
  <c r="I2" i="4"/>
  <c r="F22" i="4"/>
  <c r="F21" i="4"/>
  <c r="F18" i="4"/>
  <c r="F17" i="4"/>
  <c r="F14" i="4"/>
  <c r="F13" i="4"/>
  <c r="F9" i="4"/>
  <c r="F10" i="4"/>
  <c r="F6" i="4"/>
  <c r="F5" i="4"/>
  <c r="F2" i="4"/>
  <c r="F1" i="4"/>
  <c r="B5" i="4"/>
  <c r="B4" i="4"/>
  <c r="B2" i="4"/>
  <c r="B1" i="4"/>
</calcChain>
</file>

<file path=xl/sharedStrings.xml><?xml version="1.0" encoding="utf-8"?>
<sst xmlns="http://schemas.openxmlformats.org/spreadsheetml/2006/main" count="74" uniqueCount="72">
  <si>
    <t>x1</t>
  </si>
  <si>
    <t>y1</t>
  </si>
  <si>
    <t>x2</t>
  </si>
  <si>
    <t>y2</t>
  </si>
  <si>
    <t>x3</t>
  </si>
  <si>
    <t>y3</t>
  </si>
  <si>
    <t>x4</t>
  </si>
  <si>
    <t>y4</t>
  </si>
  <si>
    <t>лев низ</t>
  </si>
  <si>
    <t>лев верх</t>
  </si>
  <si>
    <t>прав верх</t>
  </si>
  <si>
    <t>прав низ</t>
  </si>
  <si>
    <t>x5</t>
  </si>
  <si>
    <t>y5</t>
  </si>
  <si>
    <t>центр низ</t>
  </si>
  <si>
    <t>x6</t>
  </si>
  <si>
    <t>y6</t>
  </si>
  <si>
    <t>x1_1</t>
  </si>
  <si>
    <t>y1_1</t>
  </si>
  <si>
    <t>x2_1</t>
  </si>
  <si>
    <t>y2_1</t>
  </si>
  <si>
    <t>x3_1</t>
  </si>
  <si>
    <t>y3_1</t>
  </si>
  <si>
    <t>x4_1</t>
  </si>
  <si>
    <t>y4_1</t>
  </si>
  <si>
    <t>x5_1</t>
  </si>
  <si>
    <t>y5_1</t>
  </si>
  <si>
    <t>x5_2</t>
  </si>
  <si>
    <t>y5_2</t>
  </si>
  <si>
    <t>центр верх</t>
  </si>
  <si>
    <t>x6_1</t>
  </si>
  <si>
    <t>y6_1</t>
  </si>
  <si>
    <t>x6_2</t>
  </si>
  <si>
    <t>y6_2</t>
  </si>
  <si>
    <t>motor 1</t>
  </si>
  <si>
    <t>лев ниж</t>
  </si>
  <si>
    <t>x7_1</t>
  </si>
  <si>
    <t>y7_1</t>
  </si>
  <si>
    <t>x7_2</t>
  </si>
  <si>
    <t>y7_2</t>
  </si>
  <si>
    <t>x7_3</t>
  </si>
  <si>
    <t>y7_3</t>
  </si>
  <si>
    <t>x7_4</t>
  </si>
  <si>
    <t>y7_4</t>
  </si>
  <si>
    <t>motor 2</t>
  </si>
  <si>
    <t>x8_1</t>
  </si>
  <si>
    <t>x8_2</t>
  </si>
  <si>
    <t>y8_2</t>
  </si>
  <si>
    <t>y8_1</t>
  </si>
  <si>
    <t>x8_3</t>
  </si>
  <si>
    <t>y8_3</t>
  </si>
  <si>
    <t>x8_4</t>
  </si>
  <si>
    <t>y8_4</t>
  </si>
  <si>
    <t>motor 3</t>
  </si>
  <si>
    <t>x9_1</t>
  </si>
  <si>
    <t>y9_1</t>
  </si>
  <si>
    <t>прав ниж</t>
  </si>
  <si>
    <t>x9_2</t>
  </si>
  <si>
    <t>y9_2</t>
  </si>
  <si>
    <t>x9_3</t>
  </si>
  <si>
    <t>y9_3</t>
  </si>
  <si>
    <t>x9_4</t>
  </si>
  <si>
    <t>y9_4</t>
  </si>
  <si>
    <t>motor 4</t>
  </si>
  <si>
    <t>x10_1</t>
  </si>
  <si>
    <t>y10_1</t>
  </si>
  <si>
    <t>x10_2</t>
  </si>
  <si>
    <t>y10_2</t>
  </si>
  <si>
    <t>x10_3</t>
  </si>
  <si>
    <t>y10_3</t>
  </si>
  <si>
    <t>x10_4</t>
  </si>
  <si>
    <t>y10_4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</si>
</sst>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2">
    <cellStyle name="Обычный" xfId="0" builtinId="0"/>
    <cellStyle name="Обычный 2" xfId="1" xr:uid="{75AED288-7BBA-4290-B647-92A1612CB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65C9-F53C-4842-8F53-21D4E137FD2E}">
  <dimension ref="A1:T22"/>
  <sheetViews>
    <sheetView tabSelected="1" workbookViewId="0">
      <selection activeCell="T14" sqref="T14:T15"/>
    </sheetView>
  </sheetViews>
  <sheetFormatPr defaultRowHeight="14.4" x14ac:dyDescent="0.3"/>
  <cols>
    <col min="7" max="7" width="10.6640625" customWidth="1"/>
  </cols>
  <sheetData>
    <row r="1" spans="1:20" x14ac:dyDescent="0.3">
      <c r="A1">
        <v>160</v>
      </c>
      <c r="B1">
        <f>A1/2</f>
        <v>80</v>
      </c>
      <c r="E1" t="s">
        <v>0</v>
      </c>
      <c r="F1" s="1">
        <f>A1-B5+6</f>
        <v>36</v>
      </c>
      <c r="G1" t="s">
        <v>8</v>
      </c>
      <c r="H1" t="s">
        <v>17</v>
      </c>
      <c r="I1" s="1">
        <f>F1+6</f>
        <v>42</v>
      </c>
      <c r="M1" t="s">
        <v>34</v>
      </c>
      <c r="N1" t="s">
        <v>35</v>
      </c>
    </row>
    <row r="2" spans="1:20" x14ac:dyDescent="0.3">
      <c r="A2">
        <v>340</v>
      </c>
      <c r="B2">
        <f>A2/2</f>
        <v>170</v>
      </c>
      <c r="E2" t="s">
        <v>1</v>
      </c>
      <c r="F2" s="1">
        <f>A2-B4+6</f>
        <v>266</v>
      </c>
      <c r="H2" t="s">
        <v>18</v>
      </c>
      <c r="I2" s="1">
        <f>F2</f>
        <v>266</v>
      </c>
      <c r="M2" t="s">
        <v>36</v>
      </c>
      <c r="N2" s="7">
        <f>I1+20</f>
        <v>62</v>
      </c>
      <c r="O2" t="s">
        <v>38</v>
      </c>
      <c r="P2" s="7">
        <f>N2+30</f>
        <v>92</v>
      </c>
      <c r="Q2" t="s">
        <v>40</v>
      </c>
      <c r="R2" s="7">
        <f>N2</f>
        <v>62</v>
      </c>
      <c r="S2" t="s">
        <v>42</v>
      </c>
      <c r="T2" s="7">
        <f>R2+30</f>
        <v>92</v>
      </c>
    </row>
    <row r="3" spans="1:20" x14ac:dyDescent="0.3">
      <c r="M3" t="s">
        <v>37</v>
      </c>
      <c r="N3" s="7">
        <f>I2</f>
        <v>266</v>
      </c>
      <c r="O3" t="s">
        <v>39</v>
      </c>
      <c r="P3" s="7">
        <f>N3</f>
        <v>266</v>
      </c>
      <c r="Q3" t="s">
        <v>41</v>
      </c>
      <c r="R3" s="7">
        <f>N3+24</f>
        <v>290</v>
      </c>
      <c r="S3" t="s">
        <v>43</v>
      </c>
      <c r="T3" s="7">
        <f>R3</f>
        <v>290</v>
      </c>
    </row>
    <row r="4" spans="1:20" x14ac:dyDescent="0.3">
      <c r="A4">
        <v>160</v>
      </c>
      <c r="B4">
        <f>A4/2</f>
        <v>80</v>
      </c>
    </row>
    <row r="5" spans="1:20" x14ac:dyDescent="0.3">
      <c r="A5">
        <v>260</v>
      </c>
      <c r="B5">
        <f>A5/2</f>
        <v>130</v>
      </c>
      <c r="E5" t="s">
        <v>2</v>
      </c>
      <c r="F5" s="2">
        <f>F1</f>
        <v>36</v>
      </c>
      <c r="G5" t="s">
        <v>9</v>
      </c>
      <c r="H5" t="s">
        <v>19</v>
      </c>
      <c r="I5" s="2">
        <f>I1</f>
        <v>42</v>
      </c>
      <c r="M5" t="s">
        <v>44</v>
      </c>
      <c r="N5" t="s">
        <v>9</v>
      </c>
    </row>
    <row r="6" spans="1:20" x14ac:dyDescent="0.3">
      <c r="E6" t="s">
        <v>3</v>
      </c>
      <c r="F6" s="2">
        <f>F2+A4-12</f>
        <v>414</v>
      </c>
      <c r="H6" t="s">
        <v>20</v>
      </c>
      <c r="I6" s="2">
        <f>F6</f>
        <v>414</v>
      </c>
      <c r="M6" t="s">
        <v>45</v>
      </c>
      <c r="N6" s="8">
        <f>N2</f>
        <v>62</v>
      </c>
      <c r="O6" t="s">
        <v>46</v>
      </c>
      <c r="P6" s="8">
        <f>N6+30</f>
        <v>92</v>
      </c>
      <c r="Q6" t="s">
        <v>49</v>
      </c>
      <c r="R6" s="8">
        <f>N6</f>
        <v>62</v>
      </c>
      <c r="S6" t="s">
        <v>51</v>
      </c>
      <c r="T6" s="8">
        <f>R6+30</f>
        <v>92</v>
      </c>
    </row>
    <row r="7" spans="1:20" x14ac:dyDescent="0.3">
      <c r="M7" t="s">
        <v>48</v>
      </c>
      <c r="N7" s="8">
        <f>F6</f>
        <v>414</v>
      </c>
      <c r="O7" t="s">
        <v>47</v>
      </c>
      <c r="P7" s="8">
        <f>N7</f>
        <v>414</v>
      </c>
      <c r="Q7" t="s">
        <v>50</v>
      </c>
      <c r="R7" s="8">
        <f>N7-24</f>
        <v>390</v>
      </c>
      <c r="S7" t="s">
        <v>52</v>
      </c>
      <c r="T7" s="8">
        <f>R7</f>
        <v>390</v>
      </c>
    </row>
    <row r="9" spans="1:20" x14ac:dyDescent="0.3">
      <c r="E9" t="s">
        <v>4</v>
      </c>
      <c r="F9" s="3">
        <f>F5+A5-12</f>
        <v>284</v>
      </c>
      <c r="G9" t="s">
        <v>10</v>
      </c>
      <c r="H9" t="s">
        <v>21</v>
      </c>
      <c r="I9" s="3">
        <f>F9-6</f>
        <v>278</v>
      </c>
      <c r="M9" t="s">
        <v>53</v>
      </c>
      <c r="N9" t="s">
        <v>56</v>
      </c>
    </row>
    <row r="10" spans="1:20" x14ac:dyDescent="0.3">
      <c r="E10" t="s">
        <v>5</v>
      </c>
      <c r="F10" s="3">
        <f>F6</f>
        <v>414</v>
      </c>
      <c r="H10" t="s">
        <v>22</v>
      </c>
      <c r="I10" s="3">
        <f>F10</f>
        <v>414</v>
      </c>
      <c r="M10" t="s">
        <v>54</v>
      </c>
      <c r="N10" s="9">
        <f>I13-20</f>
        <v>258</v>
      </c>
      <c r="O10" t="s">
        <v>57</v>
      </c>
      <c r="P10" s="9">
        <f>N10-30</f>
        <v>228</v>
      </c>
      <c r="Q10" t="s">
        <v>59</v>
      </c>
      <c r="R10" s="9">
        <f>P10</f>
        <v>228</v>
      </c>
      <c r="S10" t="s">
        <v>61</v>
      </c>
      <c r="T10" s="9">
        <f>R10+30</f>
        <v>258</v>
      </c>
    </row>
    <row r="11" spans="1:20" x14ac:dyDescent="0.3">
      <c r="M11" t="s">
        <v>55</v>
      </c>
      <c r="N11" s="9">
        <f>I14</f>
        <v>266</v>
      </c>
      <c r="O11" t="s">
        <v>58</v>
      </c>
      <c r="P11" s="9">
        <f>N11</f>
        <v>266</v>
      </c>
      <c r="Q11" t="s">
        <v>60</v>
      </c>
      <c r="R11" s="9">
        <f>P11+24</f>
        <v>290</v>
      </c>
      <c r="S11" t="s">
        <v>62</v>
      </c>
      <c r="T11" s="9">
        <f>R11</f>
        <v>290</v>
      </c>
    </row>
    <row r="13" spans="1:20" x14ac:dyDescent="0.3">
      <c r="E13" t="s">
        <v>6</v>
      </c>
      <c r="F13" s="4">
        <f>F9</f>
        <v>284</v>
      </c>
      <c r="G13" t="s">
        <v>11</v>
      </c>
      <c r="H13" t="s">
        <v>23</v>
      </c>
      <c r="I13" s="4">
        <f>I9</f>
        <v>278</v>
      </c>
      <c r="M13" t="s">
        <v>63</v>
      </c>
      <c r="N13" t="s">
        <v>10</v>
      </c>
    </row>
    <row r="14" spans="1:20" x14ac:dyDescent="0.3">
      <c r="E14" t="s">
        <v>7</v>
      </c>
      <c r="F14" s="4">
        <f>F2</f>
        <v>266</v>
      </c>
      <c r="H14" t="s">
        <v>24</v>
      </c>
      <c r="I14" s="4">
        <f>F14</f>
        <v>266</v>
      </c>
      <c r="M14" t="s">
        <v>64</v>
      </c>
      <c r="N14" s="10">
        <f>T10</f>
        <v>258</v>
      </c>
      <c r="O14" t="s">
        <v>66</v>
      </c>
      <c r="P14" s="10">
        <f>N14-30</f>
        <v>228</v>
      </c>
      <c r="Q14" t="s">
        <v>68</v>
      </c>
      <c r="R14" s="10">
        <f>P14</f>
        <v>228</v>
      </c>
      <c r="S14" t="s">
        <v>70</v>
      </c>
      <c r="T14" s="10">
        <f>R14+30</f>
        <v>258</v>
      </c>
    </row>
    <row r="15" spans="1:20" x14ac:dyDescent="0.3">
      <c r="M15" t="s">
        <v>65</v>
      </c>
      <c r="N15" s="10">
        <f>I10</f>
        <v>414</v>
      </c>
      <c r="O15" t="s">
        <v>67</v>
      </c>
      <c r="P15" s="10">
        <f>N15</f>
        <v>414</v>
      </c>
      <c r="Q15" t="s">
        <v>69</v>
      </c>
      <c r="R15" s="10">
        <f>P15-24</f>
        <v>390</v>
      </c>
      <c r="S15" t="s">
        <v>71</v>
      </c>
      <c r="T15" s="10">
        <f>R15</f>
        <v>390</v>
      </c>
    </row>
    <row r="17" spans="5:11" x14ac:dyDescent="0.3">
      <c r="E17" t="s">
        <v>12</v>
      </c>
      <c r="F17" s="5">
        <f>A1</f>
        <v>160</v>
      </c>
      <c r="G17" t="s">
        <v>14</v>
      </c>
      <c r="H17" t="s">
        <v>25</v>
      </c>
      <c r="I17" s="5">
        <f>F17-6</f>
        <v>154</v>
      </c>
      <c r="J17" t="s">
        <v>27</v>
      </c>
      <c r="K17" s="5">
        <f>F17+6</f>
        <v>166</v>
      </c>
    </row>
    <row r="18" spans="5:11" x14ac:dyDescent="0.3">
      <c r="E18" t="s">
        <v>13</v>
      </c>
      <c r="F18" s="5">
        <f>F14</f>
        <v>266</v>
      </c>
      <c r="H18" t="s">
        <v>26</v>
      </c>
      <c r="I18" s="5">
        <f>F18</f>
        <v>266</v>
      </c>
      <c r="J18" t="s">
        <v>28</v>
      </c>
      <c r="K18" s="5">
        <f>I18</f>
        <v>266</v>
      </c>
    </row>
    <row r="21" spans="5:11" x14ac:dyDescent="0.3">
      <c r="E21" t="s">
        <v>15</v>
      </c>
      <c r="F21" s="6">
        <f>F17</f>
        <v>160</v>
      </c>
      <c r="G21" t="s">
        <v>29</v>
      </c>
      <c r="H21" t="s">
        <v>30</v>
      </c>
      <c r="I21" s="6">
        <f>F21-6</f>
        <v>154</v>
      </c>
      <c r="J21" t="s">
        <v>32</v>
      </c>
      <c r="K21" s="6">
        <f>F21+6</f>
        <v>166</v>
      </c>
    </row>
    <row r="22" spans="5:11" x14ac:dyDescent="0.3">
      <c r="E22" t="s">
        <v>16</v>
      </c>
      <c r="F22" s="6">
        <f>F10</f>
        <v>414</v>
      </c>
      <c r="H22" t="s">
        <v>31</v>
      </c>
      <c r="I22" s="6">
        <f>F22</f>
        <v>414</v>
      </c>
      <c r="J22" t="s">
        <v>33</v>
      </c>
      <c r="K22" s="6">
        <f>F22</f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2015-06-05T18:19:34Z</dcterms:created>
  <dcterms:modified xsi:type="dcterms:W3CDTF">2026-02-06T19:11:32Z</dcterms:modified>
</cp:coreProperties>
</file>